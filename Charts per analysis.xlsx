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50fbaa35ef2952/Desktop/Estudio/Curso DA Google/Proyecto final/"/>
    </mc:Choice>
  </mc:AlternateContent>
  <xr:revisionPtr revIDLastSave="0" documentId="8_{BB6AB63B-746B-4122-8260-DF33E6D6C0E0}" xr6:coauthVersionLast="47" xr6:coauthVersionMax="47" xr10:uidLastSave="{00000000-0000-0000-0000-000000000000}"/>
  <bookViews>
    <workbookView xWindow="-120" yWindow="-120" windowWidth="29040" windowHeight="15720" activeTab="4" xr2:uid="{C853FD56-06E4-4B0A-ADDE-E9171081B30B}"/>
  </bookViews>
  <sheets>
    <sheet name="Analysis 1" sheetId="5" r:id="rId1"/>
    <sheet name="Analysis 2" sheetId="6" r:id="rId2"/>
    <sheet name="Analysis 3" sheetId="7" r:id="rId3"/>
    <sheet name="Analysis 4" sheetId="8" r:id="rId4"/>
    <sheet name="Hoja5" sheetId="9" r:id="rId5"/>
  </sheets>
  <definedNames>
    <definedName name="DatosExternos_1" localSheetId="0" hidden="1">'Analysis 1'!$A$1:$D$2</definedName>
    <definedName name="DatosExternos_1" localSheetId="1" hidden="1">'Analysis 2'!$A$1:$C$8</definedName>
    <definedName name="DatosExternos_1" localSheetId="4" hidden="1">Hoja5!$C$10:$F$11</definedName>
    <definedName name="DatosExternos_2" localSheetId="2" hidden="1">'Analysis 3'!$A$1:$C$34</definedName>
    <definedName name="DatosExternos_3" localSheetId="3" hidden="1">'Analysis 4'!$A$1:$B$5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B3F7EC-CF48-4064-8C0D-3344DDC18F02}" keepAlive="1" name="Consulta - Analysis 1" description="Conexión a la consulta 'Analysis 1' en el libro." type="5" refreshedVersion="8" background="1" saveData="1">
    <dbPr connection="Provider=Microsoft.Mashup.OleDb.1;Data Source=$Workbook$;Location=&quot;Analysis 1&quot;;Extended Properties=&quot;&quot;" command="SELECT * FROM [Analysis 1]"/>
  </connection>
  <connection id="2" xr16:uid="{68AF3BF0-132A-48CB-B3DC-853B3E7D0F50}" keepAlive="1" name="Consulta - Analysis 1 (2)" description="Conexión a la consulta 'Analysis 1 (2)' en el libro." type="5" refreshedVersion="8" background="1" saveData="1">
    <dbPr connection="Provider=Microsoft.Mashup.OleDb.1;Data Source=$Workbook$;Location=&quot;Analysis 1 (2)&quot;;Extended Properties=&quot;&quot;" command="SELECT * FROM [Analysis 1 (2)]"/>
  </connection>
  <connection id="3" xr16:uid="{C7B2377E-53C9-4BDF-8E74-C0A6164D8DB1}" keepAlive="1" name="Consulta - Analysis 2" description="Conexión a la consulta 'Analysis 2' en el libro." type="5" refreshedVersion="8" background="1" saveData="1">
    <dbPr connection="Provider=Microsoft.Mashup.OleDb.1;Data Source=$Workbook$;Location=&quot;Analysis 2&quot;;Extended Properties=&quot;&quot;" command="SELECT * FROM [Analysis 2]"/>
  </connection>
  <connection id="4" xr16:uid="{AEF9E63D-787C-4BAF-BA5E-DE1AC911D122}" keepAlive="1" name="Consulta - Analysis 3" description="Conexión a la consulta 'Analysis 3' en el libro." type="5" refreshedVersion="8" background="1" saveData="1">
    <dbPr connection="Provider=Microsoft.Mashup.OleDb.1;Data Source=$Workbook$;Location=&quot;Analysis 3&quot;;Extended Properties=&quot;&quot;" command="SELECT * FROM [Analysis 3]"/>
  </connection>
  <connection id="5" xr16:uid="{C16DDFE2-114A-407C-B34F-8981E83CA962}" keepAlive="1" name="Consulta - Analysis 4" description="Conexión a la consulta 'Analysis 4' en el libro." type="5" refreshedVersion="8" background="1" saveData="1">
    <dbPr connection="Provider=Microsoft.Mashup.OleDb.1;Data Source=$Workbook$;Location=&quot;Analysis 4&quot;;Extended Properties=&quot;&quot;" command="SELECT * FROM [Analysis 4]"/>
  </connection>
</connections>
</file>

<file path=xl/sharedStrings.xml><?xml version="1.0" encoding="utf-8"?>
<sst xmlns="http://schemas.openxmlformats.org/spreadsheetml/2006/main" count="27" uniqueCount="23">
  <si>
    <t>AVG_steps</t>
  </si>
  <si>
    <t>AVG_calories</t>
  </si>
  <si>
    <t>AVG_sedentary_minutes</t>
  </si>
  <si>
    <t>AVG_active_minutes</t>
  </si>
  <si>
    <t>day_of_week</t>
  </si>
  <si>
    <t>Tuesday</t>
  </si>
  <si>
    <t>Saturday</t>
  </si>
  <si>
    <t>Monday</t>
  </si>
  <si>
    <t>Wednesday</t>
  </si>
  <si>
    <t>Thursday</t>
  </si>
  <si>
    <t>Friday</t>
  </si>
  <si>
    <t>Sunday</t>
  </si>
  <si>
    <t>Id</t>
  </si>
  <si>
    <t>Activity_Level</t>
  </si>
  <si>
    <t>number_times</t>
  </si>
  <si>
    <t>Lightly active 12k-24k</t>
  </si>
  <si>
    <t>Sedentary (0-12k)</t>
  </si>
  <si>
    <t xml:space="preserve">Zero steps (other) </t>
  </si>
  <si>
    <t>Active (24k+)</t>
  </si>
  <si>
    <t>Total Average steps</t>
  </si>
  <si>
    <t>Total average calories</t>
  </si>
  <si>
    <t>Total average active (minutes)</t>
  </si>
  <si>
    <t>Total average sendentary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</si>
</sst>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average steps per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2'!$B$1</c:f>
              <c:strCache>
                <c:ptCount val="1"/>
                <c:pt idx="0">
                  <c:v>AVG_steps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2'!$A$2:$A$8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'Analysis 2'!$B$2:$B$8</c:f>
              <c:numCache>
                <c:formatCode>General</c:formatCode>
                <c:ptCount val="7"/>
                <c:pt idx="0">
                  <c:v>8488.2181999999993</c:v>
                </c:pt>
                <c:pt idx="1">
                  <c:v>8884.8992999999991</c:v>
                </c:pt>
                <c:pt idx="2">
                  <c:v>8157.5971</c:v>
                </c:pt>
                <c:pt idx="3">
                  <c:v>8064.1333000000004</c:v>
                </c:pt>
                <c:pt idx="4">
                  <c:v>7820.6417000000001</c:v>
                </c:pt>
                <c:pt idx="5">
                  <c:v>8791.0347999999994</c:v>
                </c:pt>
                <c:pt idx="6">
                  <c:v>7626.5545000000002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1-427F-B89C-5CD88EBF6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93370608"/>
        <c:axId val="1893374928"/>
      </c:barChart>
      <c:catAx>
        <c:axId val="18933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3374928"/>
        <c:crosses val="autoZero"/>
        <c:auto val="1"/>
        <c:lblAlgn val="ctr"/>
        <c:lblOffset val="100"/>
        <c:noMultiLvlLbl val="0"/>
      </c:catAx>
      <c:valAx>
        <c:axId val="18933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33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Activity</a:t>
            </a:r>
            <a:r>
              <a:rPr lang="en-US" baseline="0"/>
              <a:t> VS Calories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3'!$C$1</c:f>
              <c:strCache>
                <c:ptCount val="1"/>
                <c:pt idx="0">
                  <c:v>AVG_calories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'Analysis 3'!$B$2:$B$34</c:f>
              <c:numCache>
                <c:formatCode>General</c:formatCode>
                <c:ptCount val="33"/>
                <c:pt idx="0">
                  <c:v>12520.6333</c:v>
                </c:pt>
                <c:pt idx="1">
                  <c:v>5743.9031999999997</c:v>
                </c:pt>
                <c:pt idx="2">
                  <c:v>7282.9666999999999</c:v>
                </c:pt>
                <c:pt idx="3">
                  <c:v>3635.5455000000002</c:v>
                </c:pt>
                <c:pt idx="4">
                  <c:v>1577.7778000000001</c:v>
                </c:pt>
                <c:pt idx="5">
                  <c:v>11370.645200000001</c:v>
                </c:pt>
                <c:pt idx="6">
                  <c:v>5566.8710000000001</c:v>
                </c:pt>
                <c:pt idx="7">
                  <c:v>4716.8710000000001</c:v>
                </c:pt>
                <c:pt idx="8">
                  <c:v>9519.6666999999998</c:v>
                </c:pt>
                <c:pt idx="9">
                  <c:v>7555.7741999999998</c:v>
                </c:pt>
                <c:pt idx="10">
                  <c:v>6861.65</c:v>
                </c:pt>
                <c:pt idx="11">
                  <c:v>10984.566699999999</c:v>
                </c:pt>
                <c:pt idx="12">
                  <c:v>4134.3528999999999</c:v>
                </c:pt>
                <c:pt idx="13">
                  <c:v>5117.3333000000002</c:v>
                </c:pt>
                <c:pt idx="14">
                  <c:v>7268.8387000000002</c:v>
                </c:pt>
                <c:pt idx="15">
                  <c:v>10813.9355</c:v>
                </c:pt>
                <c:pt idx="16">
                  <c:v>4796.5483999999997</c:v>
                </c:pt>
                <c:pt idx="17">
                  <c:v>7685.1289999999999</c:v>
                </c:pt>
                <c:pt idx="18">
                  <c:v>8857.7999999999993</c:v>
                </c:pt>
                <c:pt idx="19">
                  <c:v>8612.5805999999993</c:v>
                </c:pt>
                <c:pt idx="20">
                  <c:v>8897.6070999999993</c:v>
                </c:pt>
                <c:pt idx="21">
                  <c:v>8578.6087000000007</c:v>
                </c:pt>
                <c:pt idx="22">
                  <c:v>6553.48</c:v>
                </c:pt>
                <c:pt idx="23">
                  <c:v>3853.6471000000001</c:v>
                </c:pt>
                <c:pt idx="24">
                  <c:v>9794.8065000000006</c:v>
                </c:pt>
                <c:pt idx="25">
                  <c:v>11776.36</c:v>
                </c:pt>
                <c:pt idx="26">
                  <c:v>9684.1666999999998</c:v>
                </c:pt>
                <c:pt idx="27">
                  <c:v>14763.290300000001</c:v>
                </c:pt>
                <c:pt idx="28">
                  <c:v>6842.2777999999998</c:v>
                </c:pt>
                <c:pt idx="29">
                  <c:v>8717.7096999999994</c:v>
                </c:pt>
                <c:pt idx="30">
                  <c:v>7438.4666999999999</c:v>
                </c:pt>
                <c:pt idx="31">
                  <c:v>2687.9</c:v>
                </c:pt>
                <c:pt idx="32">
                  <c:v>16040.032300000001</c:v>
                </c:pt>
              </c:numCache>
            </c:numRef>
          </c:xVal>
          <c:yVal>
            <c:numRef>
              <c:f>'Analysis 3'!$C$2:$C$34</c:f>
              <c:numCache>
                <c:formatCode>General</c:formatCode>
                <c:ptCount val="33"/>
                <c:pt idx="0">
                  <c:v>1876.9666999999999</c:v>
                </c:pt>
                <c:pt idx="1">
                  <c:v>1483.3548000000001</c:v>
                </c:pt>
                <c:pt idx="2">
                  <c:v>2811.3</c:v>
                </c:pt>
                <c:pt idx="3">
                  <c:v>1666.0908999999999</c:v>
                </c:pt>
                <c:pt idx="4">
                  <c:v>2251.9443999999999</c:v>
                </c:pt>
                <c:pt idx="5">
                  <c:v>2509.9677000000001</c:v>
                </c:pt>
                <c:pt idx="6">
                  <c:v>1540.6451999999999</c:v>
                </c:pt>
                <c:pt idx="7">
                  <c:v>1724.1613</c:v>
                </c:pt>
                <c:pt idx="8">
                  <c:v>2043.4444000000001</c:v>
                </c:pt>
                <c:pt idx="9">
                  <c:v>1916.9676999999999</c:v>
                </c:pt>
                <c:pt idx="10">
                  <c:v>1933.1</c:v>
                </c:pt>
                <c:pt idx="11">
                  <c:v>1513.6667</c:v>
                </c:pt>
                <c:pt idx="12">
                  <c:v>2719.9412000000002</c:v>
                </c:pt>
                <c:pt idx="13">
                  <c:v>2039.6667</c:v>
                </c:pt>
                <c:pt idx="14">
                  <c:v>2037.6774</c:v>
                </c:pt>
                <c:pt idx="15">
                  <c:v>3093.8710000000001</c:v>
                </c:pt>
                <c:pt idx="16">
                  <c:v>2186.1934999999999</c:v>
                </c:pt>
                <c:pt idx="17">
                  <c:v>2033.2581</c:v>
                </c:pt>
                <c:pt idx="18">
                  <c:v>2997.1667000000002</c:v>
                </c:pt>
                <c:pt idx="19">
                  <c:v>1875.6774</c:v>
                </c:pt>
                <c:pt idx="20">
                  <c:v>3469.6786000000002</c:v>
                </c:pt>
                <c:pt idx="21">
                  <c:v>2427.4348</c:v>
                </c:pt>
                <c:pt idx="22">
                  <c:v>2768.36</c:v>
                </c:pt>
                <c:pt idx="23">
                  <c:v>2285.7058999999999</c:v>
                </c:pt>
                <c:pt idx="24">
                  <c:v>1982.0323000000001</c:v>
                </c:pt>
                <c:pt idx="25">
                  <c:v>2583.48</c:v>
                </c:pt>
                <c:pt idx="26">
                  <c:v>2597.6</c:v>
                </c:pt>
                <c:pt idx="27">
                  <c:v>2945.8065000000001</c:v>
                </c:pt>
                <c:pt idx="28">
                  <c:v>1887.3333</c:v>
                </c:pt>
                <c:pt idx="29">
                  <c:v>3436.5805999999998</c:v>
                </c:pt>
                <c:pt idx="30">
                  <c:v>2823.1</c:v>
                </c:pt>
                <c:pt idx="31">
                  <c:v>2085.75</c:v>
                </c:pt>
                <c:pt idx="32">
                  <c:v>3420.2581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0-48CE-9463-193FA535F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12095"/>
        <c:axId val="129811615"/>
      </c:scatterChart>
      <c:valAx>
        <c:axId val="12981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11615"/>
        <c:crosses val="autoZero"/>
        <c:crossBetween val="midCat"/>
      </c:valAx>
      <c:valAx>
        <c:axId val="12981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12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times a user fit in each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4'!$B$1</c:f>
              <c:strCache>
                <c:ptCount val="1"/>
                <c:pt idx="0">
                  <c:v>number_times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4'!$A$2:$A$5</c:f>
              <c:strCache>
                <c:ptCount val="4"/>
                <c:pt idx="0">
                  <c:v>Sedentary (0-12k)</c:v>
                </c:pt>
                <c:pt idx="1">
                  <c:v>Lightly active 12k-24k</c:v>
                </c:pt>
                <c:pt idx="2">
                  <c:v>Zero steps (other) </c:v>
                </c:pt>
                <c:pt idx="3">
                  <c:v>Active (24k+)</c:v>
                </c:pt>
              </c:strCache>
            </c:strRef>
          </c:cat>
          <c:val>
            <c:numRef>
              <c:f>'Analysis 4'!$B$2:$B$5</c:f>
              <c:numCache>
                <c:formatCode>General</c:formatCode>
                <c:ptCount val="4"/>
                <c:pt idx="0">
                  <c:v>687</c:v>
                </c:pt>
                <c:pt idx="1">
                  <c:v>173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0-429F-AE4D-1DB6E9F25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10383"/>
        <c:axId val="129807023"/>
      </c:barChart>
      <c:catAx>
        <c:axId val="12981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07023"/>
        <c:crosses val="autoZero"/>
        <c:auto val="1"/>
        <c:lblAlgn val="ctr"/>
        <c:lblOffset val="100"/>
        <c:noMultiLvlLbl val="0"/>
      </c:catAx>
      <c:valAx>
        <c:axId val="12980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1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average steps per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2'!$B$1</c:f>
              <c:strCache>
                <c:ptCount val="1"/>
                <c:pt idx="0">
                  <c:v>AVG_steps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1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1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2'!$A$2:$A$8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'Analysis 2'!$B$2:$B$8</c:f>
              <c:numCache>
                <c:formatCode>General</c:formatCode>
                <c:ptCount val="7"/>
                <c:pt idx="0">
                  <c:v>8488.2181999999993</c:v>
                </c:pt>
                <c:pt idx="1">
                  <c:v>8884.8992999999991</c:v>
                </c:pt>
                <c:pt idx="2">
                  <c:v>8157.5971</c:v>
                </c:pt>
                <c:pt idx="3">
                  <c:v>8064.1333000000004</c:v>
                </c:pt>
                <c:pt idx="4">
                  <c:v>7820.6417000000001</c:v>
                </c:pt>
                <c:pt idx="5">
                  <c:v>8791.0347999999994</c:v>
                </c:pt>
                <c:pt idx="6">
                  <c:v>7626.5545000000002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1-4A81-BC01-4AE23DE42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93370608"/>
        <c:axId val="1893374928"/>
      </c:barChart>
      <c:catAx>
        <c:axId val="18933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3374928"/>
        <c:crosses val="autoZero"/>
        <c:auto val="1"/>
        <c:lblAlgn val="ctr"/>
        <c:lblOffset val="100"/>
        <c:noMultiLvlLbl val="0"/>
      </c:catAx>
      <c:valAx>
        <c:axId val="1893374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33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Activity</a:t>
            </a:r>
            <a:r>
              <a:rPr lang="en-US" baseline="0"/>
              <a:t> VS Calories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3'!$C$1</c:f>
              <c:strCache>
                <c:ptCount val="1"/>
                <c:pt idx="0">
                  <c:v>AVG_calories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'Analysis 3'!$B$2:$B$34</c:f>
              <c:numCache>
                <c:formatCode>General</c:formatCode>
                <c:ptCount val="33"/>
                <c:pt idx="0">
                  <c:v>12520.6333</c:v>
                </c:pt>
                <c:pt idx="1">
                  <c:v>5743.9031999999997</c:v>
                </c:pt>
                <c:pt idx="2">
                  <c:v>7282.9666999999999</c:v>
                </c:pt>
                <c:pt idx="3">
                  <c:v>3635.5455000000002</c:v>
                </c:pt>
                <c:pt idx="4">
                  <c:v>1577.7778000000001</c:v>
                </c:pt>
                <c:pt idx="5">
                  <c:v>11370.645200000001</c:v>
                </c:pt>
                <c:pt idx="6">
                  <c:v>5566.8710000000001</c:v>
                </c:pt>
                <c:pt idx="7">
                  <c:v>4716.8710000000001</c:v>
                </c:pt>
                <c:pt idx="8">
                  <c:v>9519.6666999999998</c:v>
                </c:pt>
                <c:pt idx="9">
                  <c:v>7555.7741999999998</c:v>
                </c:pt>
                <c:pt idx="10">
                  <c:v>6861.65</c:v>
                </c:pt>
                <c:pt idx="11">
                  <c:v>10984.566699999999</c:v>
                </c:pt>
                <c:pt idx="12">
                  <c:v>4134.3528999999999</c:v>
                </c:pt>
                <c:pt idx="13">
                  <c:v>5117.3333000000002</c:v>
                </c:pt>
                <c:pt idx="14">
                  <c:v>7268.8387000000002</c:v>
                </c:pt>
                <c:pt idx="15">
                  <c:v>10813.9355</c:v>
                </c:pt>
                <c:pt idx="16">
                  <c:v>4796.5483999999997</c:v>
                </c:pt>
                <c:pt idx="17">
                  <c:v>7685.1289999999999</c:v>
                </c:pt>
                <c:pt idx="18">
                  <c:v>8857.7999999999993</c:v>
                </c:pt>
                <c:pt idx="19">
                  <c:v>8612.5805999999993</c:v>
                </c:pt>
                <c:pt idx="20">
                  <c:v>8897.6070999999993</c:v>
                </c:pt>
                <c:pt idx="21">
                  <c:v>8578.6087000000007</c:v>
                </c:pt>
                <c:pt idx="22">
                  <c:v>6553.48</c:v>
                </c:pt>
                <c:pt idx="23">
                  <c:v>3853.6471000000001</c:v>
                </c:pt>
                <c:pt idx="24">
                  <c:v>9794.8065000000006</c:v>
                </c:pt>
                <c:pt idx="25">
                  <c:v>11776.36</c:v>
                </c:pt>
                <c:pt idx="26">
                  <c:v>9684.1666999999998</c:v>
                </c:pt>
                <c:pt idx="27">
                  <c:v>14763.290300000001</c:v>
                </c:pt>
                <c:pt idx="28">
                  <c:v>6842.2777999999998</c:v>
                </c:pt>
                <c:pt idx="29">
                  <c:v>8717.7096999999994</c:v>
                </c:pt>
                <c:pt idx="30">
                  <c:v>7438.4666999999999</c:v>
                </c:pt>
                <c:pt idx="31">
                  <c:v>2687.9</c:v>
                </c:pt>
                <c:pt idx="32">
                  <c:v>16040.032300000001</c:v>
                </c:pt>
              </c:numCache>
            </c:numRef>
          </c:xVal>
          <c:yVal>
            <c:numRef>
              <c:f>'Analysis 3'!$C$2:$C$34</c:f>
              <c:numCache>
                <c:formatCode>General</c:formatCode>
                <c:ptCount val="33"/>
                <c:pt idx="0">
                  <c:v>1876.9666999999999</c:v>
                </c:pt>
                <c:pt idx="1">
                  <c:v>1483.3548000000001</c:v>
                </c:pt>
                <c:pt idx="2">
                  <c:v>2811.3</c:v>
                </c:pt>
                <c:pt idx="3">
                  <c:v>1666.0908999999999</c:v>
                </c:pt>
                <c:pt idx="4">
                  <c:v>2251.9443999999999</c:v>
                </c:pt>
                <c:pt idx="5">
                  <c:v>2509.9677000000001</c:v>
                </c:pt>
                <c:pt idx="6">
                  <c:v>1540.6451999999999</c:v>
                </c:pt>
                <c:pt idx="7">
                  <c:v>1724.1613</c:v>
                </c:pt>
                <c:pt idx="8">
                  <c:v>2043.4444000000001</c:v>
                </c:pt>
                <c:pt idx="9">
                  <c:v>1916.9676999999999</c:v>
                </c:pt>
                <c:pt idx="10">
                  <c:v>1933.1</c:v>
                </c:pt>
                <c:pt idx="11">
                  <c:v>1513.6667</c:v>
                </c:pt>
                <c:pt idx="12">
                  <c:v>2719.9412000000002</c:v>
                </c:pt>
                <c:pt idx="13">
                  <c:v>2039.6667</c:v>
                </c:pt>
                <c:pt idx="14">
                  <c:v>2037.6774</c:v>
                </c:pt>
                <c:pt idx="15">
                  <c:v>3093.8710000000001</c:v>
                </c:pt>
                <c:pt idx="16">
                  <c:v>2186.1934999999999</c:v>
                </c:pt>
                <c:pt idx="17">
                  <c:v>2033.2581</c:v>
                </c:pt>
                <c:pt idx="18">
                  <c:v>2997.1667000000002</c:v>
                </c:pt>
                <c:pt idx="19">
                  <c:v>1875.6774</c:v>
                </c:pt>
                <c:pt idx="20">
                  <c:v>3469.6786000000002</c:v>
                </c:pt>
                <c:pt idx="21">
                  <c:v>2427.4348</c:v>
                </c:pt>
                <c:pt idx="22">
                  <c:v>2768.36</c:v>
                </c:pt>
                <c:pt idx="23">
                  <c:v>2285.7058999999999</c:v>
                </c:pt>
                <c:pt idx="24">
                  <c:v>1982.0323000000001</c:v>
                </c:pt>
                <c:pt idx="25">
                  <c:v>2583.48</c:v>
                </c:pt>
                <c:pt idx="26">
                  <c:v>2597.6</c:v>
                </c:pt>
                <c:pt idx="27">
                  <c:v>2945.8065000000001</c:v>
                </c:pt>
                <c:pt idx="28">
                  <c:v>1887.3333</c:v>
                </c:pt>
                <c:pt idx="29">
                  <c:v>3436.5805999999998</c:v>
                </c:pt>
                <c:pt idx="30">
                  <c:v>2823.1</c:v>
                </c:pt>
                <c:pt idx="31">
                  <c:v>2085.75</c:v>
                </c:pt>
                <c:pt idx="32">
                  <c:v>3420.2581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5-4366-A7B3-A85C99425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12095"/>
        <c:axId val="129811615"/>
      </c:scatterChart>
      <c:valAx>
        <c:axId val="12981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11615"/>
        <c:crosses val="autoZero"/>
        <c:crossBetween val="midCat"/>
      </c:valAx>
      <c:valAx>
        <c:axId val="12981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12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times a user fit in each segment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4'!$B$1</c:f>
              <c:strCache>
                <c:ptCount val="1"/>
                <c:pt idx="0">
                  <c:v>number_times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4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4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4'!$A$2:$A$5</c:f>
              <c:strCache>
                <c:ptCount val="4"/>
                <c:pt idx="0">
                  <c:v>Sedentary (0-12k)</c:v>
                </c:pt>
                <c:pt idx="1">
                  <c:v>Lightly active 12k-24k</c:v>
                </c:pt>
                <c:pt idx="2">
                  <c:v>Zero steps (other) </c:v>
                </c:pt>
                <c:pt idx="3">
                  <c:v>Active (24k+)</c:v>
                </c:pt>
              </c:strCache>
            </c:strRef>
          </c:cat>
          <c:val>
            <c:numRef>
              <c:f>'Analysis 4'!$B$2:$B$5</c:f>
              <c:numCache>
                <c:formatCode>General</c:formatCode>
                <c:ptCount val="4"/>
                <c:pt idx="0">
                  <c:v>687</c:v>
                </c:pt>
                <c:pt idx="1">
                  <c:v>173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1-46A8-8E60-4966C71E3C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810383"/>
        <c:axId val="129807023"/>
      </c:barChart>
      <c:catAx>
        <c:axId val="12981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07023"/>
        <c:crosses val="autoZero"/>
        <c:auto val="1"/>
        <c:lblAlgn val="ctr"/>
        <c:lblOffset val="100"/>
        <c:noMultiLvlLbl val="0"/>
      </c:catAx>
      <c:valAx>
        <c:axId val="12980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81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733424</xdr:colOff>
      <xdr:row>1</xdr:row>
      <xdr:rowOff>4761</xdr:rowOff>
    </xdr:from>
    <xdr:to>
      <xdr:col>15</xdr:col>
      <xdr:colOff>76199</xdr:colOff>
      <xdr:row>24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A48331-5BCA-C545-01F1-D2172ED4B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1</xdr:row>
      <xdr:rowOff>4761</xdr:rowOff>
    </xdr:from>
    <xdr:to>
      <xdr:col>14</xdr:col>
      <xdr:colOff>476250</xdr:colOff>
      <xdr:row>25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42D70F-3FD9-65BD-2548-5603512D9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42861</xdr:rowOff>
    </xdr:from>
    <xdr:to>
      <xdr:col>10</xdr:col>
      <xdr:colOff>638174</xdr:colOff>
      <xdr:row>20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009784-7FA3-82D2-3E8D-F87B339B8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709613</xdr:colOff>
      <xdr:row>13</xdr:row>
      <xdr:rowOff>107156</xdr:rowOff>
    </xdr:from>
    <xdr:to>
      <xdr:col>9</xdr:col>
      <xdr:colOff>0</xdr:colOff>
      <xdr:row>37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99308E-6731-45E0-9CF3-59BF625FD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230981</xdr:colOff>
      <xdr:row>18</xdr:row>
      <xdr:rowOff>83345</xdr:rowOff>
    </xdr:from>
    <xdr:to>
      <xdr:col>22</xdr:col>
      <xdr:colOff>0</xdr:colOff>
      <xdr:row>38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7DC835-CF54-4DC6-A74F-F77C11828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185738</xdr:colOff>
      <xdr:row>0</xdr:row>
      <xdr:rowOff>135731</xdr:rowOff>
    </xdr:from>
    <xdr:to>
      <xdr:col>21</xdr:col>
      <xdr:colOff>761999</xdr:colOff>
      <xdr:row>17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2450E6-9DE3-4A4F-9CC3-3C1D92B72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F4F0A2D-346C-436F-B7CD-3A69B5A72B9A}" autoFormatId="16" applyNumberFormats="0" applyBorderFormats="0" applyFontFormats="0" applyPatternFormats="0" applyAlignmentFormats="0" applyWidthHeightFormats="0">
  <queryTableRefresh nextId="5">
    <queryTableFields count="4">
      <queryTableField id="1" name="AVG_steps" tableColumnId="1"/>
      <queryTableField id="2" name="AVG_calories" tableColumnId="2"/>
      <queryTableField id="3" name="AVG_sedentary_minutes" tableColumnId="3"/>
      <queryTableField id="4" name="AVG_active_minut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D2BFE72-949B-4347-A534-2BCE27F72B26}" autoFormatId="16" applyNumberFormats="0" applyBorderFormats="0" applyFontFormats="0" applyPatternFormats="0" applyAlignmentFormats="0" applyWidthHeightFormats="0">
  <queryTableRefresh nextId="4">
    <queryTableFields count="3">
      <queryTableField id="1" name="day_of_week" tableColumnId="1"/>
      <queryTableField id="2" name="AVG_steps" tableColumnId="2"/>
      <queryTableField id="3" name="AVG_calori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78B9ABCF-F771-4633-80C5-1FDFCDADC6A4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AVG_steps" tableColumnId="2"/>
      <queryTableField id="3" name="AVG_calori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2B97F752-31F7-4FC3-A6F5-14DC5523B6C0}" autoFormatId="16" applyNumberFormats="0" applyBorderFormats="0" applyFontFormats="0" applyPatternFormats="0" applyAlignmentFormats="0" applyWidthHeightFormats="0">
  <queryTableRefresh nextId="3">
    <queryTableFields count="2">
      <queryTableField id="1" name="Activity_Level" tableColumnId="1"/>
      <queryTableField id="2" name="number_time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7D36F0C-969E-40C0-BAED-A78AEECA6FF1}" autoFormatId="16" applyNumberFormats="0" applyBorderFormats="0" applyFontFormats="0" applyPatternFormats="0" applyAlignmentFormats="0" applyWidthHeightFormats="0">
  <queryTableRefresh nextId="5">
    <queryTableFields count="4">
      <queryTableField id="1" name="AVG_steps" tableColumnId="1"/>
      <queryTableField id="2" name="AVG_calories" tableColumnId="2"/>
      <queryTableField id="3" name="AVG_sedentary_minutes" tableColumnId="3"/>
      <queryTableField id="4" name="AVG_active_minut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7DA14-127A-45F5-966B-81D66E3595ED}" name="Analysis_1" displayName="Analysis_1" ref="A1:D2" tableType="queryTable" totalsRowShown="0">
  <autoFilter ref="A1:D2" xr:uid="{9507DA14-127A-45F5-966B-81D66E3595ED}"/>
  <tableColumns count="4">
    <tableColumn id="1" xr3:uid="{E57B4A9E-E73A-44AB-B58B-4D8A6E815A14}" uniqueName="1" name="AVG_steps" queryTableFieldId="1"/>
    <tableColumn id="2" xr3:uid="{0BB19699-3126-4E60-B8E9-030281558AE6}" uniqueName="2" name="AVG_calories" queryTableFieldId="2"/>
    <tableColumn id="3" xr3:uid="{18762F0A-45DC-42B8-A740-BF290B190D9E}" uniqueName="3" name="AVG_sedentary_minutes" queryTableFieldId="3"/>
    <tableColumn id="4" xr3:uid="{A0C79A04-9C0A-4441-829D-6E4A1C0BC337}" uniqueName="4" name="AVG_active_minut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F1352B-CFCA-4387-9354-DE3E1261F76B}" name="Analysis_2" displayName="Analysis_2" ref="A1:C8" tableType="queryTable" totalsRowShown="0">
  <autoFilter ref="A1:C8" xr:uid="{50F1352B-CFCA-4387-9354-DE3E1261F76B}"/>
  <sortState xmlns:xlrd2="http://schemas.microsoft.com/office/spreadsheetml/2017/richdata2" ref="A2:C8">
    <sortCondition ref="A2:A8" customList="Monday,Tuesday,Wednesday,Thursday,Friday,Saturday,Sunday"/>
  </sortState>
  <tableColumns count="3">
    <tableColumn id="1" xr3:uid="{28B75C6B-1E48-47F4-8375-627DD239AE31}" uniqueName="1" name="day_of_week" queryTableFieldId="1" dataDxfId="7"/>
    <tableColumn id="2" xr3:uid="{D1CEF59B-2857-4B82-B8D0-1C81D18A48D6}" uniqueName="2" name="AVG_steps" queryTableFieldId="2"/>
    <tableColumn id="3" xr3:uid="{A6D3962C-3B89-468A-B63C-61B49AA7720C}" uniqueName="3" name="AVG_calorie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19A27E-8C4C-49D6-B8AD-31AB78BFED6F}" name="Analysis_3" displayName="Analysis_3" ref="A1:C34" tableType="queryTable" totalsRowShown="0">
  <autoFilter ref="A1:C34" xr:uid="{7719A27E-8C4C-49D6-B8AD-31AB78BFED6F}"/>
  <tableColumns count="3">
    <tableColumn id="1" xr3:uid="{98132E67-D730-4D66-A2DC-033B4FAF55AE}" uniqueName="1" name="Id" queryTableFieldId="1"/>
    <tableColumn id="2" xr3:uid="{C674D934-2C55-417B-AF59-3DC672FFC4EC}" uniqueName="2" name="AVG_steps" queryTableFieldId="2"/>
    <tableColumn id="3" xr3:uid="{BB89AD5F-6AE6-4A7C-AA2F-450B0F66750A}" uniqueName="3" name="AVG_calori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09AEFD-7BD7-4349-9E5F-75E553ABC4C2}" name="Analysis_4" displayName="Analysis_4" ref="A1:B5" tableType="queryTable" totalsRowShown="0">
  <autoFilter ref="A1:B5" xr:uid="{C009AEFD-7BD7-4349-9E5F-75E553ABC4C2}"/>
  <sortState xmlns:xlrd2="http://schemas.microsoft.com/office/spreadsheetml/2017/richdata2" ref="A2:B5">
    <sortCondition descending="1" ref="B2:B5"/>
  </sortState>
  <tableColumns count="2">
    <tableColumn id="1" xr3:uid="{FCFCD164-6328-4069-89A5-32DB6D96355E}" uniqueName="1" name="Activity_Level" queryTableFieldId="1" dataDxfId="6"/>
    <tableColumn id="2" xr3:uid="{47E82C30-79E4-4381-BBDC-FA05C14BFEAC}" uniqueName="2" name="number_time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E4A8D6-D42A-45A0-B880-631552464F51}" name="Analysis_16" displayName="Analysis_16" ref="C10:F11" tableType="queryTable" totalsRowShown="0" headerRowDxfId="0" dataDxfId="1">
  <tableColumns count="4">
    <tableColumn id="1" xr3:uid="{2E2B5A21-BDAF-4786-82E5-4411BC7104A7}" uniqueName="1" name="Total Average steps" queryTableFieldId="1" dataDxfId="5"/>
    <tableColumn id="2" xr3:uid="{544902A3-EAA9-4303-A921-F3286BA49B60}" uniqueName="2" name="Total average calories" queryTableFieldId="2" dataDxfId="4"/>
    <tableColumn id="3" xr3:uid="{4A54777C-7CCD-41D1-9EF7-01D5C5291CF8}" uniqueName="3" name="Total average sendentary (Minutes)" queryTableFieldId="3" dataDxfId="3"/>
    <tableColumn id="4" xr3:uid="{B0208297-8036-4CA6-A96C-DEEC1DE1A1E0}" uniqueName="4" name="Total average active (minutes)" queryTableFieldId="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83B0-EECA-4593-B5F3-BBECE7E6D6A0}">
  <dimension ref="A1:D2"/>
  <sheetViews>
    <sheetView workbookViewId="0">
      <selection sqref="A1:D2"/>
    </sheetView>
  </sheetViews>
  <sheetFormatPr baseColWidth="10" defaultRowHeight="15" x14ac:dyDescent="0.25"/>
  <cols>
    <col min="1" max="1" width="12.85546875" bestFit="1" customWidth="1"/>
    <col min="2" max="2" width="15" bestFit="1" customWidth="1"/>
    <col min="3" max="3" width="25.42578125" bestFit="1" customWidth="1"/>
    <col min="4" max="4" width="2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8271.4699999999993</v>
      </c>
      <c r="B2">
        <v>2353.33</v>
      </c>
      <c r="C2">
        <v>953.98</v>
      </c>
      <c r="D2">
        <v>246.42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0DB1-CA38-493B-B04D-F7AD6B0F0099}">
  <dimension ref="A1:C8"/>
  <sheetViews>
    <sheetView workbookViewId="0">
      <selection activeCell="G27" sqref="G27"/>
    </sheetView>
  </sheetViews>
  <sheetFormatPr baseColWidth="10" defaultRowHeight="15" x14ac:dyDescent="0.25"/>
  <cols>
    <col min="1" max="1" width="14.7109375" bestFit="1" customWidth="1"/>
    <col min="2" max="2" width="12.85546875" bestFit="1" customWidth="1"/>
    <col min="3" max="3" width="15" bestFit="1" customWidth="1"/>
  </cols>
  <sheetData>
    <row r="1" spans="1:3" x14ac:dyDescent="0.25">
      <c r="A1" t="s">
        <v>4</v>
      </c>
      <c r="B1" t="s">
        <v>0</v>
      </c>
      <c r="C1" t="s">
        <v>1</v>
      </c>
    </row>
    <row r="2" spans="1:3" x14ac:dyDescent="0.25">
      <c r="A2" s="1" t="s">
        <v>7</v>
      </c>
      <c r="B2">
        <v>8488.2181999999993</v>
      </c>
      <c r="C2">
        <v>2385.6181999999999</v>
      </c>
    </row>
    <row r="3" spans="1:3" x14ac:dyDescent="0.25">
      <c r="A3" s="1" t="s">
        <v>5</v>
      </c>
      <c r="B3">
        <v>8884.8992999999991</v>
      </c>
      <c r="C3">
        <v>2423.8272999999999</v>
      </c>
    </row>
    <row r="4" spans="1:3" x14ac:dyDescent="0.25">
      <c r="A4" s="1" t="s">
        <v>8</v>
      </c>
      <c r="B4">
        <v>8157.5971</v>
      </c>
      <c r="C4">
        <v>2339.4317000000001</v>
      </c>
    </row>
    <row r="5" spans="1:3" x14ac:dyDescent="0.25">
      <c r="A5" s="1" t="s">
        <v>9</v>
      </c>
      <c r="B5">
        <v>8064.1333000000004</v>
      </c>
      <c r="C5">
        <v>2255.9110999999998</v>
      </c>
    </row>
    <row r="6" spans="1:3" x14ac:dyDescent="0.25">
      <c r="A6" s="1" t="s">
        <v>10</v>
      </c>
      <c r="B6">
        <v>7820.6417000000001</v>
      </c>
      <c r="C6">
        <v>2351.6082999999999</v>
      </c>
    </row>
    <row r="7" spans="1:3" x14ac:dyDescent="0.25">
      <c r="A7" s="1" t="s">
        <v>6</v>
      </c>
      <c r="B7">
        <v>8791.0347999999994</v>
      </c>
      <c r="C7">
        <v>2410.7217000000001</v>
      </c>
    </row>
    <row r="8" spans="1:3" x14ac:dyDescent="0.25">
      <c r="A8" s="1" t="s">
        <v>11</v>
      </c>
      <c r="B8">
        <v>7626.5545000000002</v>
      </c>
      <c r="C8">
        <v>2310.9272999999998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5528-E4C3-4FA1-852B-F46ABD1BC1B9}">
  <dimension ref="A1:C34"/>
  <sheetViews>
    <sheetView workbookViewId="0">
      <selection activeCell="Q10" sqref="Q10"/>
    </sheetView>
  </sheetViews>
  <sheetFormatPr baseColWidth="10" defaultRowHeight="15" x14ac:dyDescent="0.25"/>
  <cols>
    <col min="1" max="1" width="11" bestFit="1" customWidth="1"/>
    <col min="2" max="2" width="12.85546875" bestFit="1" customWidth="1"/>
    <col min="3" max="3" width="15" bestFit="1" customWidth="1"/>
  </cols>
  <sheetData>
    <row r="1" spans="1:3" x14ac:dyDescent="0.25">
      <c r="A1" t="s">
        <v>12</v>
      </c>
      <c r="B1" t="s">
        <v>0</v>
      </c>
      <c r="C1" t="s">
        <v>1</v>
      </c>
    </row>
    <row r="2" spans="1:3" x14ac:dyDescent="0.25">
      <c r="A2">
        <v>1503960366</v>
      </c>
      <c r="B2">
        <v>12520.6333</v>
      </c>
      <c r="C2">
        <v>1876.9666999999999</v>
      </c>
    </row>
    <row r="3" spans="1:3" x14ac:dyDescent="0.25">
      <c r="A3">
        <v>1624580081</v>
      </c>
      <c r="B3">
        <v>5743.9031999999997</v>
      </c>
      <c r="C3">
        <v>1483.3548000000001</v>
      </c>
    </row>
    <row r="4" spans="1:3" x14ac:dyDescent="0.25">
      <c r="A4">
        <v>1644430081</v>
      </c>
      <c r="B4">
        <v>7282.9666999999999</v>
      </c>
      <c r="C4">
        <v>2811.3</v>
      </c>
    </row>
    <row r="5" spans="1:3" x14ac:dyDescent="0.25">
      <c r="A5">
        <v>1844505072</v>
      </c>
      <c r="B5">
        <v>3635.5455000000002</v>
      </c>
      <c r="C5">
        <v>1666.0908999999999</v>
      </c>
    </row>
    <row r="6" spans="1:3" x14ac:dyDescent="0.25">
      <c r="A6">
        <v>1927972279</v>
      </c>
      <c r="B6">
        <v>1577.7778000000001</v>
      </c>
      <c r="C6">
        <v>2251.9443999999999</v>
      </c>
    </row>
    <row r="7" spans="1:3" x14ac:dyDescent="0.25">
      <c r="A7">
        <v>2022484408</v>
      </c>
      <c r="B7">
        <v>11370.645200000001</v>
      </c>
      <c r="C7">
        <v>2509.9677000000001</v>
      </c>
    </row>
    <row r="8" spans="1:3" x14ac:dyDescent="0.25">
      <c r="A8">
        <v>2026352035</v>
      </c>
      <c r="B8">
        <v>5566.8710000000001</v>
      </c>
      <c r="C8">
        <v>1540.6451999999999</v>
      </c>
    </row>
    <row r="9" spans="1:3" x14ac:dyDescent="0.25">
      <c r="A9">
        <v>2320127002</v>
      </c>
      <c r="B9">
        <v>4716.8710000000001</v>
      </c>
      <c r="C9">
        <v>1724.1613</v>
      </c>
    </row>
    <row r="10" spans="1:3" x14ac:dyDescent="0.25">
      <c r="A10">
        <v>2347167796</v>
      </c>
      <c r="B10">
        <v>9519.6666999999998</v>
      </c>
      <c r="C10">
        <v>2043.4444000000001</v>
      </c>
    </row>
    <row r="11" spans="1:3" x14ac:dyDescent="0.25">
      <c r="A11">
        <v>2873212765</v>
      </c>
      <c r="B11">
        <v>7555.7741999999998</v>
      </c>
      <c r="C11">
        <v>1916.9676999999999</v>
      </c>
    </row>
    <row r="12" spans="1:3" x14ac:dyDescent="0.25">
      <c r="A12">
        <v>3372868164</v>
      </c>
      <c r="B12">
        <v>6861.65</v>
      </c>
      <c r="C12">
        <v>1933.1</v>
      </c>
    </row>
    <row r="13" spans="1:3" x14ac:dyDescent="0.25">
      <c r="A13">
        <v>3977333714</v>
      </c>
      <c r="B13">
        <v>10984.566699999999</v>
      </c>
      <c r="C13">
        <v>1513.6667</v>
      </c>
    </row>
    <row r="14" spans="1:3" x14ac:dyDescent="0.25">
      <c r="A14">
        <v>4020332650</v>
      </c>
      <c r="B14">
        <v>4134.3528999999999</v>
      </c>
      <c r="C14">
        <v>2719.9412000000002</v>
      </c>
    </row>
    <row r="15" spans="1:3" x14ac:dyDescent="0.25">
      <c r="A15">
        <v>4057192912</v>
      </c>
      <c r="B15">
        <v>5117.3333000000002</v>
      </c>
      <c r="C15">
        <v>2039.6667</v>
      </c>
    </row>
    <row r="16" spans="1:3" x14ac:dyDescent="0.25">
      <c r="A16">
        <v>4319703577</v>
      </c>
      <c r="B16">
        <v>7268.8387000000002</v>
      </c>
      <c r="C16">
        <v>2037.6774</v>
      </c>
    </row>
    <row r="17" spans="1:3" x14ac:dyDescent="0.25">
      <c r="A17">
        <v>4388161847</v>
      </c>
      <c r="B17">
        <v>10813.9355</v>
      </c>
      <c r="C17">
        <v>3093.8710000000001</v>
      </c>
    </row>
    <row r="18" spans="1:3" x14ac:dyDescent="0.25">
      <c r="A18">
        <v>4445114986</v>
      </c>
      <c r="B18">
        <v>4796.5483999999997</v>
      </c>
      <c r="C18">
        <v>2186.1934999999999</v>
      </c>
    </row>
    <row r="19" spans="1:3" x14ac:dyDescent="0.25">
      <c r="A19">
        <v>4558609924</v>
      </c>
      <c r="B19">
        <v>7685.1289999999999</v>
      </c>
      <c r="C19">
        <v>2033.2581</v>
      </c>
    </row>
    <row r="20" spans="1:3" x14ac:dyDescent="0.25">
      <c r="A20">
        <v>4702921684</v>
      </c>
      <c r="B20">
        <v>8857.7999999999993</v>
      </c>
      <c r="C20">
        <v>2997.1667000000002</v>
      </c>
    </row>
    <row r="21" spans="1:3" x14ac:dyDescent="0.25">
      <c r="A21">
        <v>5553957443</v>
      </c>
      <c r="B21">
        <v>8612.5805999999993</v>
      </c>
      <c r="C21">
        <v>1875.6774</v>
      </c>
    </row>
    <row r="22" spans="1:3" x14ac:dyDescent="0.25">
      <c r="A22">
        <v>5577150313</v>
      </c>
      <c r="B22">
        <v>8897.6070999999993</v>
      </c>
      <c r="C22">
        <v>3469.6786000000002</v>
      </c>
    </row>
    <row r="23" spans="1:3" x14ac:dyDescent="0.25">
      <c r="A23">
        <v>6117666160</v>
      </c>
      <c r="B23">
        <v>8578.6087000000007</v>
      </c>
      <c r="C23">
        <v>2427.4348</v>
      </c>
    </row>
    <row r="24" spans="1:3" x14ac:dyDescent="0.25">
      <c r="A24">
        <v>6290855005</v>
      </c>
      <c r="B24">
        <v>6553.48</v>
      </c>
      <c r="C24">
        <v>2768.36</v>
      </c>
    </row>
    <row r="25" spans="1:3" x14ac:dyDescent="0.25">
      <c r="A25">
        <v>6775888955</v>
      </c>
      <c r="B25">
        <v>3853.6471000000001</v>
      </c>
      <c r="C25">
        <v>2285.7058999999999</v>
      </c>
    </row>
    <row r="26" spans="1:3" x14ac:dyDescent="0.25">
      <c r="A26">
        <v>6962181067</v>
      </c>
      <c r="B26">
        <v>9794.8065000000006</v>
      </c>
      <c r="C26">
        <v>1982.0323000000001</v>
      </c>
    </row>
    <row r="27" spans="1:3" x14ac:dyDescent="0.25">
      <c r="A27">
        <v>7007744171</v>
      </c>
      <c r="B27">
        <v>11776.36</v>
      </c>
      <c r="C27">
        <v>2583.48</v>
      </c>
    </row>
    <row r="28" spans="1:3" x14ac:dyDescent="0.25">
      <c r="A28">
        <v>7086361926</v>
      </c>
      <c r="B28">
        <v>9684.1666999999998</v>
      </c>
      <c r="C28">
        <v>2597.6</v>
      </c>
    </row>
    <row r="29" spans="1:3" x14ac:dyDescent="0.25">
      <c r="A29">
        <v>8053475328</v>
      </c>
      <c r="B29">
        <v>14763.290300000001</v>
      </c>
      <c r="C29">
        <v>2945.8065000000001</v>
      </c>
    </row>
    <row r="30" spans="1:3" x14ac:dyDescent="0.25">
      <c r="A30">
        <v>8253242879</v>
      </c>
      <c r="B30">
        <v>6842.2777999999998</v>
      </c>
      <c r="C30">
        <v>1887.3333</v>
      </c>
    </row>
    <row r="31" spans="1:3" x14ac:dyDescent="0.25">
      <c r="A31">
        <v>8378563200</v>
      </c>
      <c r="B31">
        <v>8717.7096999999994</v>
      </c>
      <c r="C31">
        <v>3436.5805999999998</v>
      </c>
    </row>
    <row r="32" spans="1:3" x14ac:dyDescent="0.25">
      <c r="A32">
        <v>8583815059</v>
      </c>
      <c r="B32">
        <v>7438.4666999999999</v>
      </c>
      <c r="C32">
        <v>2823.1</v>
      </c>
    </row>
    <row r="33" spans="1:3" x14ac:dyDescent="0.25">
      <c r="A33">
        <v>8792009665</v>
      </c>
      <c r="B33">
        <v>2687.9</v>
      </c>
      <c r="C33">
        <v>2085.75</v>
      </c>
    </row>
    <row r="34" spans="1:3" x14ac:dyDescent="0.25">
      <c r="A34">
        <v>8877689391</v>
      </c>
      <c r="B34">
        <v>16040.032300000001</v>
      </c>
      <c r="C34">
        <v>3420.2581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5E0E-FA99-41AE-8928-E04B64D26FF9}">
  <dimension ref="A1:B5"/>
  <sheetViews>
    <sheetView workbookViewId="0">
      <selection activeCell="N10" sqref="N10"/>
    </sheetView>
  </sheetViews>
  <sheetFormatPr baseColWidth="10" defaultRowHeight="15" x14ac:dyDescent="0.25"/>
  <cols>
    <col min="1" max="1" width="16.5703125" bestFit="1" customWidth="1"/>
    <col min="2" max="2" width="16.285156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1" t="s">
        <v>16</v>
      </c>
      <c r="B2">
        <v>687</v>
      </c>
    </row>
    <row r="3" spans="1:2" x14ac:dyDescent="0.25">
      <c r="A3" s="1" t="s">
        <v>15</v>
      </c>
      <c r="B3">
        <v>173</v>
      </c>
    </row>
    <row r="4" spans="1:2" x14ac:dyDescent="0.25">
      <c r="A4" t="s">
        <v>17</v>
      </c>
      <c r="B4">
        <v>5</v>
      </c>
    </row>
    <row r="5" spans="1:2" x14ac:dyDescent="0.25">
      <c r="A5" s="1" t="s">
        <v>18</v>
      </c>
      <c r="B5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8171-77CB-49E9-9DBD-DE1DD818D82A}">
  <dimension ref="C10:F11"/>
  <sheetViews>
    <sheetView showGridLines="0" tabSelected="1" zoomScale="80" zoomScaleNormal="80" workbookViewId="0">
      <selection activeCell="E43" sqref="E43"/>
    </sheetView>
  </sheetViews>
  <sheetFormatPr baseColWidth="10" defaultRowHeight="15" x14ac:dyDescent="0.25"/>
  <cols>
    <col min="3" max="3" width="20" bestFit="1" customWidth="1"/>
    <col min="4" max="4" width="22.140625" bestFit="1" customWidth="1"/>
    <col min="5" max="5" width="35.5703125" bestFit="1" customWidth="1"/>
    <col min="6" max="6" width="30.140625" bestFit="1" customWidth="1"/>
  </cols>
  <sheetData>
    <row r="10" spans="3:6" ht="15.75" x14ac:dyDescent="0.25">
      <c r="C10" s="3" t="s">
        <v>19</v>
      </c>
      <c r="D10" s="3" t="s">
        <v>20</v>
      </c>
      <c r="E10" s="3" t="s">
        <v>22</v>
      </c>
      <c r="F10" s="3" t="s">
        <v>21</v>
      </c>
    </row>
    <row r="11" spans="3:6" ht="28.5" x14ac:dyDescent="0.25">
      <c r="C11" s="2">
        <v>8271.4699999999993</v>
      </c>
      <c r="D11" s="2">
        <v>2353.33</v>
      </c>
      <c r="E11" s="2">
        <v>953.98</v>
      </c>
      <c r="F11" s="2">
        <v>246.42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EBC8B8-CBE5-4ACF-AFEE-3610B5C701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Analysis 1</vt:lpstr>
      <vt:lpstr>Analysis 2</vt:lpstr>
      <vt:lpstr>Analysis 3</vt:lpstr>
      <vt:lpstr>Analysis 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Reina</dc:creator>
  <cp:lastModifiedBy>Joseph Reina</cp:lastModifiedBy>
  <dcterms:created xsi:type="dcterms:W3CDTF">2026-01-02T22:56:02Z</dcterms:created>
  <dcterms:modified xsi:type="dcterms:W3CDTF">2026-01-03T00:26:39Z</dcterms:modified>
</cp:coreProperties>
</file>